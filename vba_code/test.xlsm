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159941" sheetId="1" r:id="rId1"/>
    <sheet name="实时行情" sheetId="2" r:id="rId2"/>
    <sheet name="股指期货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D15" i="3" l="1"/>
  <c r="D5" i="3"/>
  <c r="D18" i="3"/>
  <c r="D8" i="3"/>
  <c r="D7" i="3"/>
  <c r="D17" i="3"/>
  <c r="D16" i="3"/>
  <c r="D6" i="3"/>
  <c r="E11" i="2"/>
  <c r="E8" i="2"/>
  <c r="M7" i="2"/>
  <c r="M8" i="2"/>
  <c r="E29" i="2"/>
  <c r="I9" i="2"/>
  <c r="B6" i="1"/>
  <c r="I20" i="2"/>
  <c r="H17" i="3"/>
  <c r="E6" i="2"/>
  <c r="E9" i="2"/>
  <c r="I6" i="2"/>
  <c r="I10" i="2"/>
  <c r="I19" i="2"/>
  <c r="E10" i="2"/>
  <c r="E19" i="2"/>
  <c r="M9" i="2"/>
  <c r="D6" i="1"/>
  <c r="I17" i="2"/>
  <c r="H6" i="3"/>
  <c r="M11" i="2"/>
  <c r="I7" i="2"/>
  <c r="D7" i="1"/>
  <c r="E7" i="2"/>
  <c r="E17" i="2"/>
  <c r="I18" i="2"/>
  <c r="M10" i="2"/>
  <c r="B7" i="1"/>
  <c r="B4" i="1"/>
  <c r="H18" i="3"/>
  <c r="I11" i="2"/>
  <c r="I8" i="2"/>
  <c r="M6" i="2"/>
  <c r="H8" i="3"/>
  <c r="E20" i="2"/>
  <c r="A5" i="3"/>
  <c r="H7" i="3"/>
  <c r="I21" i="2"/>
  <c r="E22" i="2"/>
  <c r="E18" i="2"/>
  <c r="B5" i="1"/>
  <c r="E28" i="2"/>
  <c r="I22" i="2"/>
  <c r="E21" i="2"/>
  <c r="H16" i="3"/>
  <c r="F10" i="2" l="1"/>
  <c r="N8" i="2"/>
  <c r="J8" i="2"/>
  <c r="F19" i="2"/>
  <c r="F8" i="2"/>
  <c r="N10" i="2"/>
  <c r="J21" i="2"/>
  <c r="F21" i="2"/>
  <c r="J19" i="2"/>
  <c r="J10" i="2"/>
  <c r="D19" i="3"/>
  <c r="F12" i="3"/>
  <c r="F2" i="3"/>
  <c r="D9" i="3"/>
  <c r="I4" i="3"/>
  <c r="I14" i="3"/>
  <c r="J18" i="3"/>
  <c r="J19" i="3"/>
  <c r="J9" i="3"/>
  <c r="J8" i="3"/>
  <c r="J7" i="3"/>
  <c r="J6" i="3"/>
  <c r="J17" i="3"/>
  <c r="J16" i="3"/>
</calcChain>
</file>

<file path=xl/sharedStrings.xml><?xml version="1.0" encoding="utf-8"?>
<sst xmlns="http://schemas.openxmlformats.org/spreadsheetml/2006/main" count="121" uniqueCount="58">
  <si>
    <t>代码</t>
  </si>
  <si>
    <t>简称</t>
    <phoneticPr fontId="1" type="noConversion"/>
  </si>
  <si>
    <t>更新时间</t>
    <phoneticPr fontId="1" type="noConversion"/>
  </si>
  <si>
    <t>代码</t>
    <phoneticPr fontId="1" type="noConversion"/>
  </si>
  <si>
    <t>159941.SZ</t>
    <phoneticPr fontId="1" type="noConversion"/>
  </si>
  <si>
    <t>纳指ETF</t>
    <phoneticPr fontId="1" type="noConversion"/>
  </si>
  <si>
    <t>最新价</t>
    <phoneticPr fontId="1" type="noConversion"/>
  </si>
  <si>
    <t>卖一价</t>
    <phoneticPr fontId="1" type="noConversion"/>
  </si>
  <si>
    <t>卖一量</t>
    <phoneticPr fontId="1" type="noConversion"/>
  </si>
  <si>
    <t>买一价</t>
    <phoneticPr fontId="1" type="noConversion"/>
  </si>
  <si>
    <t>买一量</t>
    <phoneticPr fontId="1" type="noConversion"/>
  </si>
  <si>
    <t>挂单偏离</t>
    <phoneticPr fontId="1" type="noConversion"/>
  </si>
  <si>
    <t>挂单偏离</t>
    <phoneticPr fontId="1" type="noConversion"/>
  </si>
  <si>
    <t>HTIJ3.HKE</t>
  </si>
  <si>
    <t>HSIJ3.HKE</t>
  </si>
  <si>
    <t>HHIJ3.HKE</t>
  </si>
  <si>
    <t>简称</t>
  </si>
  <si>
    <t>恒生科技指数期货2304</t>
  </si>
  <si>
    <t>恒生指数期货2304</t>
  </si>
  <si>
    <t>恒生中国企业指数期货2304</t>
  </si>
  <si>
    <t>更新时间</t>
  </si>
  <si>
    <t>最新成交价</t>
  </si>
  <si>
    <t>买一价</t>
  </si>
  <si>
    <t>买一量</t>
  </si>
  <si>
    <t>卖一价</t>
  </si>
  <si>
    <t>卖一量</t>
  </si>
  <si>
    <t>挂单偏离</t>
    <phoneticPr fontId="1" type="noConversion"/>
  </si>
  <si>
    <t>代码</t>
    <phoneticPr fontId="1" type="noConversion"/>
  </si>
  <si>
    <t>NQ00Y.CBT</t>
  </si>
  <si>
    <t>ES00Y.CBT</t>
  </si>
  <si>
    <t>小型纳指当月连续</t>
  </si>
  <si>
    <t>小型标普当月连续</t>
  </si>
  <si>
    <t>USDCNH.FX</t>
  </si>
  <si>
    <t>美元兑离岸人民币</t>
  </si>
  <si>
    <t>最新价</t>
  </si>
  <si>
    <t>期货市值</t>
  </si>
  <si>
    <t>ETF bid1/期货 bid1 开仓价差</t>
  </si>
  <si>
    <t>卖1价</t>
  </si>
  <si>
    <t>ETF ask1/期货 bid1 开仓价差</t>
  </si>
  <si>
    <t>买1价</t>
  </si>
  <si>
    <t>ETF ask1/期货 ask1平仓价差</t>
  </si>
  <si>
    <t>成交价基差</t>
  </si>
  <si>
    <t>ETF bid1/期货 ask1 平仓价差</t>
  </si>
  <si>
    <t>贴水率</t>
  </si>
  <si>
    <t>交易单位</t>
  </si>
  <si>
    <t>上证国债指数</t>
  </si>
  <si>
    <t>TF2305.CFE</t>
    <phoneticPr fontId="1" type="noConversion"/>
  </si>
  <si>
    <t>5年债</t>
  </si>
  <si>
    <t>511010.SH</t>
  </si>
  <si>
    <t>国债ETF</t>
  </si>
  <si>
    <t>1手国泰</t>
  </si>
  <si>
    <t>/</t>
  </si>
  <si>
    <t>TS2305.CFE</t>
    <phoneticPr fontId="1" type="noConversion"/>
  </si>
  <si>
    <t>2年债</t>
  </si>
  <si>
    <t>159650.SZ</t>
  </si>
  <si>
    <t>国开ETF</t>
  </si>
  <si>
    <t>1手博时</t>
  </si>
  <si>
    <t xml:space="preserve">说明：
1. excel 中的Choice插件实时更新数据（如果没有更新，请安装choice客户端，并修复EXCEL插件）；
2. alt+F11 打开VBA
3. 运行模块中的“模块5”
    直接运行InitializeZMQ发放该EXCEL所有sheet中的所有可显示数据，开启Python接收端，即可进行数据同步。
    如果需要停止发送数据，请调用 `StopZMQSendAsyncWithOnTime` 子程序。
    在完成发送数据任务后，调用 `CleanUpZMQ` 子程序释放资源。
4. python运行显示界面，如右图所示（ip和端口号请一致）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</si>
</sst>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,##0.0000"/>
    <numFmt numFmtId="177" formatCode="0.000%"/>
    <numFmt numFmtId="178" formatCode="#,##0.00_ 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4" fontId="2" fillId="0" borderId="0" xfId="0" applyNumberFormat="1" applyFont="1" applyFill="1" applyBorder="1" applyAlignment="1">
      <alignment horizontal="center" vertical="center"/>
    </xf>
    <xf numFmtId="3" fontId="2" fillId="0" borderId="0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NumberFormat="1" applyFont="1" applyBorder="1" applyAlignment="1">
      <alignment horizontal="center" vertical="center"/>
    </xf>
    <xf numFmtId="1" fontId="0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6" fontId="8" fillId="0" borderId="0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7" fontId="5" fillId="0" borderId="0" xfId="1" applyNumberFormat="1" applyFont="1" applyBorder="1" applyAlignment="1">
      <alignment horizontal="center" vertical="center"/>
    </xf>
    <xf numFmtId="178" fontId="0" fillId="0" borderId="0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</cellXfs>
  <cellStyles count="3">
    <cellStyle name="百分比" xfId="1" builtinId="5"/>
    <cellStyle name="百分比 2" xfId="2"/>
    <cellStyle name="常规" xfId="0" builtinId="0"/>
  </cellStyles>
  <dxfs count="3">
    <dxf>
      <font>
        <color indexed="10"/>
      </font>
    </dxf>
    <dxf>
      <font>
        <color indexed="8"/>
      </font>
    </dxf>
    <dxf>
      <font>
        <color indexed="17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m.rtq">
      <tp>
        <v>6.8807799999999997</v>
        <stp/>
        <stp>USDCNH.FX</stp>
        <stp>Now</stp>
        <tr r="E29" s="2"/>
      </tp>
      <tp t="s">
        <v>18:49:22</v>
        <stp/>
        <stp>USDCNH.FX</stp>
        <stp>Time</stp>
        <tr r="E28" s="2"/>
      </tp>
      <tp t="s">
        <v>18:49:18</v>
        <stp/>
        <stp>HSIJ3.HKE</stp>
        <stp>Time</stp>
        <tr r="I6" s="2"/>
      </tp>
      <tp t="s">
        <v>18:48:09</v>
        <stp/>
        <stp>HTIJ3.HKE</stp>
        <stp>Time</stp>
        <tr r="E6" s="2"/>
      </tp>
      <tp t="s">
        <v>18:49:18</v>
        <stp/>
        <stp>HHIJ3.HKE</stp>
        <stp>Time</stp>
        <tr r="M6" s="2"/>
      </tp>
      <tp>
        <v>129.73699999999999</v>
        <stp/>
        <stp>511010.SH</stp>
        <stp>SellPrice1</stp>
        <tr r="H7" s="3"/>
      </tp>
      <tp>
        <v>200.45</v>
        <stp/>
        <stp>000012.SH</stp>
        <stp>TradePrice</stp>
        <tr r="A5" s="3"/>
      </tp>
      <tp>
        <v>129.73599999999999</v>
        <stp/>
        <stp>511010.SH</stp>
        <stp>TradePrice</stp>
        <tr r="H6" s="3"/>
      </tp>
      <tp>
        <v>100.791</v>
        <stp/>
        <stp>159650.SZ</stp>
        <stp>SellPrice1</stp>
        <tr r="H17" s="3"/>
      </tp>
      <tp>
        <v>0.68899999999999995</v>
        <stp/>
        <stp>159941.SZ</stp>
        <stp>SellPrice1</stp>
        <tr r="B6" s="1"/>
      </tp>
      <tp>
        <v>100.791</v>
        <stp/>
        <stp>159650.SZ</stp>
        <stp>TradePrice</stp>
        <tr r="H16" s="3"/>
      </tp>
      <tp>
        <v>0</v>
        <stp/>
        <stp>TS2305.CFE</stp>
        <stp>BuyPrice1</stp>
        <tr r="D18" s="3"/>
      </tp>
      <tp>
        <v>9511800</v>
        <stp/>
        <stp>159941.SZ</stp>
        <stp>BuyVolume1</stp>
        <tr r="D7" s="1"/>
      </tp>
      <tp>
        <v>0</v>
        <stp/>
        <stp>TF2305.CFE</stp>
        <stp>BuyPrice1</stp>
        <tr r="D8" s="3"/>
      </tp>
      <tp>
        <v>7045</v>
        <stp/>
        <stp>HHIJ3.HKE</stp>
        <stp>BuyPrice1</stp>
        <tr r="M8" s="2"/>
      </tp>
      <tp>
        <v>4240</v>
        <stp/>
        <stp>HTIJ3.HKE</stp>
        <stp>BuyPrice1</stp>
        <tr r="E8" s="2"/>
      </tp>
      <tp>
        <v>0</v>
        <stp/>
        <stp>TS2305.CFE</stp>
        <stp>TradePrice</stp>
        <tr r="D16" s="3"/>
      </tp>
      <tp>
        <v>0</v>
        <stp/>
        <stp>TF2305.CFE</stp>
        <stp>TradePrice</stp>
        <tr r="D6" s="3"/>
      </tp>
      <tp>
        <v>20757</v>
        <stp/>
        <stp>HSIJ3.HKE</stp>
        <stp>BuyPrice1</stp>
        <tr r="I8" s="2"/>
      </tp>
      <tp>
        <v>3</v>
        <stp/>
        <stp>NQ00Y.CBT</stp>
        <stp>SellVolume1</stp>
        <tr r="E22" s="2"/>
      </tp>
      <tp>
        <v>27</v>
        <stp/>
        <stp>ES00Y.CBT</stp>
        <stp>SellVolume1</stp>
        <tr r="I22" s="2"/>
      </tp>
      <tp>
        <v>0</v>
        <stp/>
        <stp>TF2305.CFE</stp>
        <stp>SellPrice1</stp>
        <tr r="D7" s="3"/>
      </tp>
      <tp>
        <v>0</v>
        <stp/>
        <stp>TS2305.CFE</stp>
        <stp>SellPrice1</stp>
        <tr r="D17" s="3"/>
      </tp>
      <tp>
        <v>4196</v>
        <stp/>
        <stp>ES00Y.CBT</stp>
        <stp>BuyPrice1</stp>
        <tr r="I19" s="2"/>
      </tp>
      <tp>
        <v>12</v>
        <stp/>
        <stp>HHIJ3.HKE</stp>
        <stp>SellVolume1</stp>
        <tr r="M11" s="2"/>
      </tp>
      <tp>
        <v>6</v>
        <stp/>
        <stp>HSIJ3.HKE</stp>
        <stp>SellVolume1</stp>
        <tr r="I11" s="2"/>
      </tp>
      <tp>
        <v>15</v>
        <stp/>
        <stp>HTIJ3.HKE</stp>
        <stp>SellVolume1</stp>
        <tr r="E11" s="2"/>
      </tp>
      <tp>
        <v>129.73599999999999</v>
        <stp/>
        <stp>511010.SH</stp>
        <stp>BuyPrice1</stp>
        <tr r="H8" s="3"/>
      </tp>
      <tp>
        <v>13276.25</v>
        <stp/>
        <stp>NQ00Y.CBT</stp>
        <stp>BuyPrice1</stp>
        <tr r="E19" s="2"/>
      </tp>
      <tp>
        <v>13</v>
        <stp/>
        <stp>HHIJ3.HKE</stp>
        <stp>BuyVolume1</stp>
        <tr r="M9" s="2"/>
      </tp>
      <tp>
        <v>32</v>
        <stp/>
        <stp>ES00Y.CBT</stp>
        <stp>BuyVolume1</stp>
        <tr r="I20" s="2"/>
      </tp>
      <tp>
        <v>3</v>
        <stp/>
        <stp>HSIJ3.HKE</stp>
        <stp>BuyVolume1</stp>
        <tr r="I9" s="2"/>
      </tp>
      <tp>
        <v>526600</v>
        <stp/>
        <stp>159941.SZ</stp>
        <stp>SellVolume1</stp>
        <tr r="D6" s="1"/>
      </tp>
      <tp>
        <v>1</v>
        <stp/>
        <stp>NQ00Y.CBT</stp>
        <stp>BuyVolume1</stp>
        <tr r="E20" s="2"/>
      </tp>
      <tp>
        <v>0.68799999999999994</v>
        <stp/>
        <stp>159941.SZ</stp>
        <stp>BuyPrice1</stp>
        <tr r="B7" s="1"/>
      </tp>
      <tp>
        <v>100.79</v>
        <stp/>
        <stp>159650.SZ</stp>
        <stp>BuyPrice1</stp>
        <tr r="H18" s="3"/>
      </tp>
      <tp>
        <v>6</v>
        <stp/>
        <stp>HTIJ3.HKE</stp>
        <stp>BuyVolume1</stp>
        <tr r="E9" s="2"/>
      </tp>
      <tp>
        <v>4241</v>
        <stp/>
        <stp>HTIJ3.HKE</stp>
        <stp>TradePrice</stp>
        <tr r="E7" s="2"/>
      </tp>
      <tp>
        <v>4242</v>
        <stp/>
        <stp>HTIJ3.HKE</stp>
        <stp>SellPrice1</stp>
        <tr r="E10" s="2"/>
      </tp>
      <tp>
        <v>13277.4</v>
        <stp/>
        <stp>NQ00Y.CBT</stp>
        <stp>TradePrice</stp>
        <tr r="E18" s="2"/>
      </tp>
      <tp>
        <v>4196.25</v>
        <stp/>
        <stp>ES00Y.CBT</stp>
        <stp>SellPrice1</stp>
        <tr r="I21" s="2"/>
      </tp>
      <tp>
        <v>20759</v>
        <stp/>
        <stp>HSIJ3.HKE</stp>
        <stp>SellPrice1</stp>
        <tr r="I10" s="2"/>
      </tp>
      <tp>
        <v>4196.0249999999996</v>
        <stp/>
        <stp>ES00Y.CBT</stp>
        <stp>TradePrice</stp>
        <tr r="I18" s="2"/>
      </tp>
      <tp t="s">
        <v>18:49:16</v>
        <stp/>
        <stp>ES00Y.CBT</stp>
        <stp>Time</stp>
        <tr r="I17" s="2"/>
      </tp>
      <tp>
        <v>13276.75</v>
        <stp/>
        <stp>NQ00Y.CBT</stp>
        <stp>SellPrice1</stp>
        <tr r="E21" s="2"/>
      </tp>
      <tp t="s">
        <v>18:49:15</v>
        <stp/>
        <stp>NQ00Y.CBT</stp>
        <stp>Time</stp>
        <tr r="E17" s="2"/>
      </tp>
      <tp>
        <v>20759</v>
        <stp/>
        <stp>HSIJ3.HKE</stp>
        <stp>TradePrice</stp>
        <tr r="I7" s="2"/>
      </tp>
      <tp>
        <v>0.68799999999999994</v>
        <stp/>
        <stp>159941.SZ</stp>
        <stp>Now</stp>
        <tr r="B5" s="1"/>
      </tp>
      <tp>
        <v>7046</v>
        <stp/>
        <stp>HHIJ3.HKE</stp>
        <stp>TradePrice</stp>
        <tr r="M7" s="2"/>
      </tp>
      <tp t="s">
        <v>15:34:15</v>
        <stp/>
        <stp>159941.SZ</stp>
        <stp>Time</stp>
        <tr r="B4" s="1"/>
      </tp>
      <tp>
        <v>7046</v>
        <stp/>
        <stp>HHIJ3.HKE</stp>
        <stp>SellPrice1</stp>
        <tr r="M10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361949</xdr:colOff>
      <xdr:row>1</xdr:row>
      <xdr:rowOff>18533</xdr:rowOff>
    </xdr:from>
    <xdr:to>
      <xdr:col>23</xdr:col>
      <xdr:colOff>493874</xdr:colOff>
      <xdr:row>30</xdr:row>
      <xdr:rowOff>103913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24849" y="189983"/>
          <a:ext cx="8361525" cy="50574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85"/>
  <sheetViews>
    <sheetView tabSelected="1" workbookViewId="0">
      <selection activeCell="F29" sqref="F29"/>
    </sheetView>
  </sheetViews>
  <sheetFormatPr defaultRowHeight="12" x14ac:dyDescent="0.15"/>
  <cols>
    <col min="1" max="1" width="9" style="1"/>
    <col min="2" max="2" width="14.5" style="1" bestFit="1" customWidth="1"/>
    <col min="3" max="16384" width="9" style="1"/>
  </cols>
  <sheetData>
    <row r="1" spans="1:12" ht="13.5" x14ac:dyDescent="0.15">
      <c r="A1" s="2"/>
      <c r="B1" s="2"/>
      <c r="C1" s="2"/>
      <c r="D1" s="2"/>
    </row>
    <row r="2" spans="1:12" ht="13.5" x14ac:dyDescent="0.15">
      <c r="A2" s="3" t="s">
        <v>3</v>
      </c>
      <c r="B2" s="3" t="s">
        <v>4</v>
      </c>
      <c r="C2" s="2"/>
      <c r="D2" s="3"/>
    </row>
    <row r="3" spans="1:12" ht="13.5" x14ac:dyDescent="0.15">
      <c r="A3" s="3" t="s">
        <v>1</v>
      </c>
      <c r="B3" s="3" t="s">
        <v>5</v>
      </c>
      <c r="C3" s="2"/>
      <c r="D3" s="3"/>
    </row>
    <row r="4" spans="1:12" ht="13.5" x14ac:dyDescent="0.15">
      <c r="A4" s="3" t="s">
        <v>2</v>
      </c>
      <c r="B4" s="3" t="str">
        <f>RTD("em.rtq",,B2,"Time")</f>
        <v>15:34:15</v>
      </c>
      <c r="C4" s="2"/>
      <c r="D4" s="3"/>
    </row>
    <row r="5" spans="1:12" ht="13.5" x14ac:dyDescent="0.15">
      <c r="A5" s="3" t="s">
        <v>6</v>
      </c>
      <c r="B5" s="3">
        <f>RTD("em.rtq",,B2,"Now")</f>
        <v>0.68799999999999994</v>
      </c>
      <c r="C5" s="2"/>
      <c r="D5" s="3"/>
    </row>
    <row r="6" spans="1:12" ht="13.5" x14ac:dyDescent="0.15">
      <c r="A6" s="3" t="s">
        <v>7</v>
      </c>
      <c r="B6" s="4">
        <f>RTD("em.rtq",,B2,"SellPrice1")</f>
        <v>0.68899999999999995</v>
      </c>
      <c r="C6" s="3" t="s">
        <v>8</v>
      </c>
      <c r="D6" s="3">
        <f>RTD("em.rtq",,B2,"SellVolume1")/100</f>
        <v>5266</v>
      </c>
    </row>
    <row r="7" spans="1:12" ht="13.5" x14ac:dyDescent="0.15">
      <c r="A7" s="3" t="s">
        <v>9</v>
      </c>
      <c r="B7" s="4">
        <f>RTD("em.rtq",,B2,"BuyPrice1")</f>
        <v>0.68799999999999994</v>
      </c>
      <c r="C7" s="3" t="s">
        <v>10</v>
      </c>
      <c r="D7" s="3">
        <f>RTD("em.rtq",,B2,"BuyVolume1")/100</f>
        <v>95118</v>
      </c>
    </row>
    <row r="8" spans="1:12" ht="13.5" x14ac:dyDescent="0.15">
      <c r="A8" s="2"/>
      <c r="B8" s="2"/>
      <c r="C8" s="5"/>
      <c r="D8" s="6"/>
    </row>
    <row r="9" spans="1:12" ht="13.5" x14ac:dyDescent="0.15">
      <c r="A9" s="2"/>
      <c r="B9" s="2"/>
      <c r="C9" s="2"/>
      <c r="D9" s="2"/>
    </row>
    <row r="10" spans="1:12" ht="13.5" x14ac:dyDescent="0.15">
      <c r="A10" s="2"/>
      <c r="B10" s="2"/>
      <c r="C10" s="2"/>
      <c r="D10" s="2"/>
    </row>
    <row r="11" spans="1:12" ht="13.5" customHeight="1" x14ac:dyDescent="0.15">
      <c r="A11" s="40" t="s">
        <v>57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</row>
    <row r="12" spans="1:12" ht="13.5" customHeight="1" x14ac:dyDescent="0.1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ht="13.5" customHeight="1" x14ac:dyDescent="0.1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ht="13.5" customHeight="1" x14ac:dyDescent="0.1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ht="13.5" customHeight="1" x14ac:dyDescent="0.1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  <row r="16" spans="1:12" ht="13.5" customHeight="1" x14ac:dyDescent="0.1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  <row r="17" spans="1:12" ht="13.5" customHeight="1" x14ac:dyDescent="0.1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1:12" ht="13.5" customHeight="1" x14ac:dyDescent="0.1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</row>
    <row r="19" spans="1:12" ht="13.5" customHeight="1" x14ac:dyDescent="0.1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</row>
    <row r="20" spans="1:12" ht="13.5" customHeight="1" x14ac:dyDescent="0.1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</row>
    <row r="21" spans="1:12" ht="13.5" customHeight="1" x14ac:dyDescent="0.1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</row>
    <row r="22" spans="1:12" ht="13.5" customHeight="1" x14ac:dyDescent="0.1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</row>
    <row r="23" spans="1:12" ht="13.5" customHeight="1" x14ac:dyDescent="0.1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</row>
    <row r="24" spans="1:12" ht="13.5" customHeight="1" x14ac:dyDescent="0.1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</row>
    <row r="25" spans="1:12" ht="13.5" customHeight="1" x14ac:dyDescent="0.1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</row>
    <row r="26" spans="1:12" ht="13.5" customHeight="1" x14ac:dyDescent="0.1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</row>
    <row r="27" spans="1:12" ht="13.5" x14ac:dyDescent="0.15">
      <c r="A27" s="2"/>
      <c r="B27" s="2"/>
      <c r="C27" s="2"/>
      <c r="D27" s="2"/>
    </row>
    <row r="28" spans="1:12" ht="13.5" x14ac:dyDescent="0.15">
      <c r="A28" s="2"/>
      <c r="B28" s="2"/>
      <c r="C28" s="2"/>
      <c r="D28" s="2"/>
    </row>
    <row r="29" spans="1:12" ht="13.5" x14ac:dyDescent="0.15">
      <c r="A29" s="2"/>
      <c r="B29" s="2"/>
      <c r="C29" s="2"/>
      <c r="D29" s="2"/>
    </row>
    <row r="30" spans="1:12" ht="13.5" x14ac:dyDescent="0.15">
      <c r="A30" s="2"/>
      <c r="B30" s="2"/>
      <c r="C30" s="2"/>
      <c r="D30" s="2"/>
    </row>
    <row r="31" spans="1:12" ht="13.5" x14ac:dyDescent="0.15">
      <c r="A31" s="2"/>
      <c r="B31" s="2"/>
      <c r="C31" s="2"/>
      <c r="D31" s="2"/>
    </row>
    <row r="32" spans="1:12" ht="13.5" x14ac:dyDescent="0.15">
      <c r="A32" s="2"/>
      <c r="B32" s="2"/>
      <c r="C32" s="2"/>
      <c r="D32" s="2"/>
    </row>
    <row r="33" spans="1:4" ht="13.5" x14ac:dyDescent="0.15">
      <c r="A33" s="2"/>
      <c r="B33" s="2"/>
      <c r="C33" s="2"/>
      <c r="D33" s="2"/>
    </row>
    <row r="34" spans="1:4" ht="13.5" x14ac:dyDescent="0.15">
      <c r="A34" s="2"/>
      <c r="B34" s="2"/>
      <c r="C34" s="2"/>
      <c r="D34" s="2"/>
    </row>
    <row r="35" spans="1:4" ht="13.5" x14ac:dyDescent="0.15">
      <c r="A35" s="2"/>
      <c r="B35" s="2"/>
      <c r="C35" s="2"/>
      <c r="D35" s="2"/>
    </row>
    <row r="36" spans="1:4" ht="13.5" x14ac:dyDescent="0.15">
      <c r="A36" s="2"/>
      <c r="B36" s="2"/>
      <c r="C36" s="2"/>
      <c r="D36" s="2"/>
    </row>
    <row r="37" spans="1:4" ht="13.5" x14ac:dyDescent="0.15">
      <c r="A37" s="2"/>
      <c r="B37" s="2"/>
      <c r="C37" s="2"/>
      <c r="D37" s="2"/>
    </row>
    <row r="38" spans="1:4" ht="13.5" x14ac:dyDescent="0.15">
      <c r="A38" s="2"/>
      <c r="B38" s="2"/>
      <c r="C38" s="2"/>
      <c r="D38" s="2"/>
    </row>
    <row r="39" spans="1:4" ht="13.5" x14ac:dyDescent="0.15">
      <c r="A39" s="2"/>
      <c r="B39" s="2"/>
      <c r="C39" s="2"/>
      <c r="D39" s="2"/>
    </row>
    <row r="40" spans="1:4" ht="13.5" x14ac:dyDescent="0.15">
      <c r="A40" s="2"/>
      <c r="B40" s="2"/>
      <c r="C40" s="2"/>
      <c r="D40" s="2"/>
    </row>
    <row r="41" spans="1:4" ht="13.5" x14ac:dyDescent="0.15">
      <c r="A41" s="2"/>
      <c r="B41" s="2"/>
      <c r="C41" s="2"/>
      <c r="D41" s="2"/>
    </row>
    <row r="42" spans="1:4" ht="13.5" x14ac:dyDescent="0.15">
      <c r="A42" s="2"/>
      <c r="B42" s="2"/>
      <c r="C42" s="2"/>
      <c r="D42" s="2"/>
    </row>
    <row r="43" spans="1:4" ht="13.5" x14ac:dyDescent="0.15">
      <c r="A43" s="2"/>
      <c r="B43" s="2"/>
      <c r="C43" s="2"/>
      <c r="D43" s="2"/>
    </row>
    <row r="44" spans="1:4" ht="13.5" x14ac:dyDescent="0.15">
      <c r="A44" s="2"/>
      <c r="B44" s="2"/>
      <c r="C44" s="2"/>
      <c r="D44" s="2"/>
    </row>
    <row r="45" spans="1:4" ht="13.5" x14ac:dyDescent="0.15">
      <c r="A45" s="2"/>
      <c r="B45" s="2"/>
      <c r="C45" s="2"/>
      <c r="D45" s="2"/>
    </row>
    <row r="46" spans="1:4" ht="13.5" x14ac:dyDescent="0.15">
      <c r="A46" s="2"/>
      <c r="B46" s="2"/>
      <c r="C46" s="2"/>
      <c r="D46" s="2"/>
    </row>
    <row r="47" spans="1:4" ht="13.5" x14ac:dyDescent="0.15">
      <c r="A47" s="2"/>
      <c r="B47" s="2"/>
      <c r="C47" s="2"/>
      <c r="D47" s="2"/>
    </row>
    <row r="48" spans="1:4" ht="13.5" x14ac:dyDescent="0.15">
      <c r="A48" s="2"/>
      <c r="B48" s="2"/>
      <c r="C48" s="2"/>
      <c r="D48" s="2"/>
    </row>
    <row r="49" spans="1:4" ht="13.5" x14ac:dyDescent="0.15">
      <c r="A49" s="2"/>
      <c r="B49" s="2"/>
      <c r="C49" s="2"/>
      <c r="D49" s="2"/>
    </row>
    <row r="50" spans="1:4" ht="13.5" x14ac:dyDescent="0.15">
      <c r="A50" s="2"/>
      <c r="B50" s="2"/>
      <c r="C50" s="2"/>
      <c r="D50" s="2"/>
    </row>
    <row r="51" spans="1:4" ht="13.5" x14ac:dyDescent="0.15">
      <c r="A51" s="2"/>
      <c r="B51" s="2"/>
      <c r="C51" s="2"/>
      <c r="D51" s="2"/>
    </row>
    <row r="52" spans="1:4" ht="13.5" x14ac:dyDescent="0.15">
      <c r="A52" s="2"/>
      <c r="B52" s="2"/>
      <c r="C52" s="2"/>
      <c r="D52" s="2"/>
    </row>
    <row r="53" spans="1:4" ht="13.5" x14ac:dyDescent="0.15">
      <c r="A53" s="2"/>
      <c r="B53" s="2"/>
      <c r="C53" s="2"/>
      <c r="D53" s="2"/>
    </row>
    <row r="54" spans="1:4" ht="13.5" x14ac:dyDescent="0.15">
      <c r="A54" s="2"/>
      <c r="B54" s="2"/>
      <c r="C54" s="2"/>
      <c r="D54" s="2"/>
    </row>
    <row r="55" spans="1:4" ht="13.5" x14ac:dyDescent="0.15">
      <c r="A55" s="2"/>
      <c r="B55" s="2"/>
      <c r="C55" s="2"/>
      <c r="D55" s="2"/>
    </row>
    <row r="56" spans="1:4" ht="13.5" x14ac:dyDescent="0.15">
      <c r="A56" s="2"/>
      <c r="B56" s="2"/>
      <c r="C56" s="2"/>
      <c r="D56" s="2"/>
    </row>
    <row r="57" spans="1:4" ht="13.5" x14ac:dyDescent="0.15">
      <c r="A57" s="2"/>
      <c r="B57" s="2"/>
      <c r="C57" s="2"/>
      <c r="D57" s="2"/>
    </row>
    <row r="58" spans="1:4" ht="13.5" x14ac:dyDescent="0.15">
      <c r="A58" s="2"/>
      <c r="B58" s="2"/>
      <c r="C58" s="2"/>
      <c r="D58" s="2"/>
    </row>
    <row r="59" spans="1:4" ht="13.5" x14ac:dyDescent="0.15">
      <c r="A59" s="2"/>
      <c r="B59" s="2"/>
      <c r="C59" s="2"/>
      <c r="D59" s="2"/>
    </row>
    <row r="60" spans="1:4" ht="13.5" x14ac:dyDescent="0.15">
      <c r="A60" s="2"/>
      <c r="B60" s="2"/>
      <c r="C60" s="2"/>
      <c r="D60" s="2"/>
    </row>
    <row r="61" spans="1:4" ht="13.5" x14ac:dyDescent="0.15">
      <c r="A61" s="2"/>
      <c r="B61" s="2"/>
      <c r="C61" s="2"/>
      <c r="D61" s="2"/>
    </row>
    <row r="62" spans="1:4" ht="13.5" x14ac:dyDescent="0.15">
      <c r="A62" s="2"/>
      <c r="B62" s="2"/>
      <c r="C62" s="2"/>
      <c r="D62" s="2"/>
    </row>
    <row r="63" spans="1:4" ht="13.5" x14ac:dyDescent="0.15">
      <c r="A63" s="2"/>
      <c r="B63" s="2"/>
      <c r="C63" s="2"/>
      <c r="D63" s="2"/>
    </row>
    <row r="64" spans="1:4" ht="13.5" x14ac:dyDescent="0.15">
      <c r="A64" s="2"/>
      <c r="B64" s="2"/>
      <c r="C64" s="2"/>
      <c r="D64" s="2"/>
    </row>
    <row r="65" spans="1:4" ht="13.5" x14ac:dyDescent="0.15">
      <c r="A65" s="2"/>
      <c r="B65" s="2"/>
      <c r="C65" s="2"/>
      <c r="D65" s="2"/>
    </row>
    <row r="66" spans="1:4" ht="13.5" x14ac:dyDescent="0.15">
      <c r="A66" s="2"/>
      <c r="B66" s="2"/>
      <c r="C66" s="2"/>
      <c r="D66" s="2"/>
    </row>
    <row r="67" spans="1:4" ht="13.5" x14ac:dyDescent="0.15">
      <c r="A67" s="2"/>
      <c r="B67" s="2"/>
      <c r="C67" s="2"/>
      <c r="D67" s="2"/>
    </row>
    <row r="68" spans="1:4" ht="13.5" x14ac:dyDescent="0.15">
      <c r="A68" s="2"/>
      <c r="B68" s="2"/>
      <c r="C68" s="2"/>
      <c r="D68" s="2"/>
    </row>
    <row r="69" spans="1:4" ht="13.5" x14ac:dyDescent="0.15">
      <c r="A69" s="2"/>
      <c r="B69" s="2"/>
      <c r="C69" s="2"/>
      <c r="D69" s="2"/>
    </row>
    <row r="70" spans="1:4" ht="13.5" x14ac:dyDescent="0.15">
      <c r="A70" s="2"/>
      <c r="B70" s="2"/>
      <c r="C70" s="2"/>
      <c r="D70" s="2"/>
    </row>
    <row r="71" spans="1:4" ht="13.5" x14ac:dyDescent="0.15">
      <c r="A71" s="2"/>
      <c r="B71" s="2"/>
      <c r="C71" s="2"/>
      <c r="D71" s="2"/>
    </row>
    <row r="72" spans="1:4" ht="13.5" x14ac:dyDescent="0.15">
      <c r="A72" s="2"/>
      <c r="B72" s="2"/>
      <c r="C72" s="2"/>
      <c r="D72" s="2"/>
    </row>
    <row r="73" spans="1:4" ht="13.5" x14ac:dyDescent="0.15">
      <c r="A73" s="2"/>
      <c r="B73" s="2"/>
      <c r="C73" s="2"/>
      <c r="D73" s="2"/>
    </row>
    <row r="74" spans="1:4" ht="13.5" x14ac:dyDescent="0.15">
      <c r="A74" s="2"/>
      <c r="B74" s="2"/>
      <c r="C74" s="2"/>
      <c r="D74" s="2"/>
    </row>
    <row r="75" spans="1:4" ht="13.5" x14ac:dyDescent="0.15">
      <c r="A75" s="2"/>
      <c r="B75" s="2"/>
      <c r="C75" s="2"/>
      <c r="D75" s="2"/>
    </row>
    <row r="76" spans="1:4" ht="13.5" x14ac:dyDescent="0.15">
      <c r="A76" s="2"/>
      <c r="B76" s="2"/>
      <c r="C76" s="2"/>
      <c r="D76" s="2"/>
    </row>
    <row r="77" spans="1:4" ht="13.5" x14ac:dyDescent="0.15">
      <c r="A77" s="2"/>
      <c r="B77" s="2"/>
      <c r="C77" s="2"/>
      <c r="D77" s="2"/>
    </row>
    <row r="78" spans="1:4" ht="13.5" x14ac:dyDescent="0.15">
      <c r="A78" s="2"/>
      <c r="B78" s="2"/>
      <c r="C78" s="2"/>
      <c r="D78" s="2"/>
    </row>
    <row r="79" spans="1:4" ht="13.5" x14ac:dyDescent="0.15">
      <c r="A79" s="2"/>
      <c r="B79" s="2"/>
      <c r="C79" s="2"/>
      <c r="D79" s="2"/>
    </row>
    <row r="80" spans="1:4" ht="13.5" x14ac:dyDescent="0.15">
      <c r="A80" s="2"/>
      <c r="B80" s="2"/>
      <c r="C80" s="2"/>
      <c r="D80" s="2"/>
    </row>
    <row r="81" spans="1:4" ht="13.5" x14ac:dyDescent="0.15">
      <c r="A81" s="2"/>
      <c r="B81" s="2"/>
      <c r="C81" s="2"/>
      <c r="D81" s="2"/>
    </row>
    <row r="82" spans="1:4" ht="13.5" x14ac:dyDescent="0.15">
      <c r="A82" s="2"/>
      <c r="B82" s="2"/>
      <c r="C82" s="2"/>
      <c r="D82" s="2"/>
    </row>
    <row r="83" spans="1:4" ht="13.5" x14ac:dyDescent="0.15">
      <c r="A83" s="2"/>
      <c r="B83" s="2"/>
      <c r="C83" s="2"/>
      <c r="D83" s="2"/>
    </row>
    <row r="84" spans="1:4" ht="13.5" x14ac:dyDescent="0.15">
      <c r="A84" s="2"/>
      <c r="B84" s="2"/>
      <c r="C84" s="2"/>
      <c r="D84" s="2"/>
    </row>
    <row r="85" spans="1:4" ht="13.5" x14ac:dyDescent="0.15">
      <c r="A85" s="2"/>
      <c r="B85" s="2"/>
      <c r="C85" s="2"/>
      <c r="D85" s="2"/>
    </row>
  </sheetData>
  <dataConsolidate/>
  <mergeCells count="1">
    <mergeCell ref="A11:L26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N31"/>
  <sheetViews>
    <sheetView workbookViewId="0">
      <selection activeCell="E30" sqref="E30"/>
    </sheetView>
  </sheetViews>
  <sheetFormatPr defaultRowHeight="12" x14ac:dyDescent="0.15"/>
  <cols>
    <col min="1" max="4" width="9" style="1"/>
    <col min="5" max="5" width="18.875" style="1" bestFit="1" customWidth="1"/>
    <col min="6" max="6" width="9.125" style="1" customWidth="1"/>
    <col min="7" max="7" width="9" style="1"/>
    <col min="8" max="8" width="18.875" style="1" bestFit="1" customWidth="1"/>
    <col min="9" max="9" width="15.25" style="1" bestFit="1" customWidth="1"/>
    <col min="10" max="10" width="8.875" style="1" customWidth="1"/>
    <col min="11" max="11" width="9" style="1"/>
    <col min="12" max="12" width="16.875" style="1" customWidth="1"/>
    <col min="13" max="13" width="22.5" style="1" bestFit="1" customWidth="1"/>
    <col min="14" max="16384" width="9" style="1"/>
  </cols>
  <sheetData>
    <row r="3" spans="4:14" x14ac:dyDescent="0.15">
      <c r="D3" s="7" t="s">
        <v>11</v>
      </c>
      <c r="E3" s="7">
        <v>5</v>
      </c>
      <c r="F3" s="7"/>
      <c r="G3" s="7"/>
      <c r="H3" s="7" t="s">
        <v>12</v>
      </c>
      <c r="I3" s="7">
        <v>5</v>
      </c>
      <c r="J3" s="7"/>
      <c r="K3" s="7"/>
      <c r="L3" s="7" t="s">
        <v>11</v>
      </c>
      <c r="M3" s="7">
        <v>5</v>
      </c>
    </row>
    <row r="4" spans="4:14" x14ac:dyDescent="0.15">
      <c r="D4" s="7" t="s">
        <v>0</v>
      </c>
      <c r="E4" s="7" t="s">
        <v>13</v>
      </c>
      <c r="F4" s="7"/>
      <c r="H4" s="7" t="s">
        <v>0</v>
      </c>
      <c r="I4" s="7" t="s">
        <v>14</v>
      </c>
      <c r="J4" s="7"/>
      <c r="K4" s="7"/>
      <c r="L4" s="7" t="s">
        <v>0</v>
      </c>
      <c r="M4" s="7" t="s">
        <v>15</v>
      </c>
    </row>
    <row r="5" spans="4:14" x14ac:dyDescent="0.15">
      <c r="D5" s="7" t="s">
        <v>16</v>
      </c>
      <c r="E5" s="7" t="s">
        <v>17</v>
      </c>
      <c r="F5" s="7"/>
      <c r="H5" s="7" t="s">
        <v>16</v>
      </c>
      <c r="I5" s="7" t="s">
        <v>18</v>
      </c>
      <c r="J5" s="7"/>
      <c r="K5" s="7"/>
      <c r="L5" s="7" t="s">
        <v>16</v>
      </c>
      <c r="M5" s="7" t="s">
        <v>19</v>
      </c>
    </row>
    <row r="6" spans="4:14" x14ac:dyDescent="0.15">
      <c r="D6" s="8" t="s">
        <v>20</v>
      </c>
      <c r="E6" s="9" t="str">
        <f>RTD("em.rtq",,E4,"Time")</f>
        <v>18:48:09</v>
      </c>
      <c r="F6" s="7"/>
      <c r="H6" s="8" t="s">
        <v>20</v>
      </c>
      <c r="I6" s="9" t="str">
        <f>RTD("em.rtq",,I4,"Time")</f>
        <v>18:49:18</v>
      </c>
      <c r="J6" s="7"/>
      <c r="K6" s="7"/>
      <c r="L6" s="8" t="s">
        <v>20</v>
      </c>
      <c r="M6" s="9" t="str">
        <f>RTD("em.rtq",,M4,"Time")</f>
        <v>18:49:18</v>
      </c>
    </row>
    <row r="7" spans="4:14" x14ac:dyDescent="0.15">
      <c r="D7" s="8" t="s">
        <v>21</v>
      </c>
      <c r="E7" s="7">
        <f>RTD("em.rtq",,E4,"TradePrice")</f>
        <v>4241</v>
      </c>
      <c r="F7" s="7"/>
      <c r="H7" s="8" t="s">
        <v>21</v>
      </c>
      <c r="I7" s="7">
        <f>RTD("em.rtq",,I4,"TradePrice")</f>
        <v>20759</v>
      </c>
      <c r="J7" s="7"/>
      <c r="K7" s="7"/>
      <c r="L7" s="8" t="s">
        <v>21</v>
      </c>
      <c r="M7" s="7">
        <f>RTD("em.rtq",,M4,"TradePrice")</f>
        <v>7046</v>
      </c>
    </row>
    <row r="8" spans="4:14" x14ac:dyDescent="0.15">
      <c r="D8" s="8" t="s">
        <v>22</v>
      </c>
      <c r="E8" s="7">
        <f>RTD("em.rtq",,E4,"BuyPrice1")</f>
        <v>4240</v>
      </c>
      <c r="F8" s="7">
        <f>E8+E3</f>
        <v>4245</v>
      </c>
      <c r="H8" s="8" t="s">
        <v>22</v>
      </c>
      <c r="I8" s="7">
        <f>RTD("em.rtq",,I4,"BuyPrice1")</f>
        <v>20757</v>
      </c>
      <c r="J8" s="7">
        <f>I8+I3</f>
        <v>20762</v>
      </c>
      <c r="K8" s="7"/>
      <c r="L8" s="8" t="s">
        <v>22</v>
      </c>
      <c r="M8" s="7">
        <f>RTD("em.rtq",,M4,"BuyPrice1")</f>
        <v>7045</v>
      </c>
      <c r="N8" s="7">
        <f>M8+M3</f>
        <v>7050</v>
      </c>
    </row>
    <row r="9" spans="4:14" x14ac:dyDescent="0.15">
      <c r="D9" s="8" t="s">
        <v>23</v>
      </c>
      <c r="E9" s="7">
        <f>RTD("em.rtq",,E4,"BuyVolume1")</f>
        <v>6</v>
      </c>
      <c r="F9" s="7"/>
      <c r="H9" s="8" t="s">
        <v>23</v>
      </c>
      <c r="I9" s="7">
        <f>RTD("em.rtq",,I4,"BuyVolume1")</f>
        <v>3</v>
      </c>
      <c r="J9" s="7"/>
      <c r="K9" s="7"/>
      <c r="L9" s="8" t="s">
        <v>23</v>
      </c>
      <c r="M9" s="7">
        <f>RTD("em.rtq",,M4,"BuyVolume1")</f>
        <v>13</v>
      </c>
      <c r="N9" s="7"/>
    </row>
    <row r="10" spans="4:14" x14ac:dyDescent="0.15">
      <c r="D10" s="8" t="s">
        <v>24</v>
      </c>
      <c r="E10" s="7">
        <f>RTD("em.rtq",,E4,"SellPrice1")</f>
        <v>4242</v>
      </c>
      <c r="F10" s="7">
        <f>E10-E3</f>
        <v>4237</v>
      </c>
      <c r="H10" s="8" t="s">
        <v>24</v>
      </c>
      <c r="I10" s="7">
        <f>RTD("em.rtq",,I4,"SellPrice1")</f>
        <v>20759</v>
      </c>
      <c r="J10" s="7">
        <f>I10-I3</f>
        <v>20754</v>
      </c>
      <c r="K10" s="7"/>
      <c r="L10" s="8" t="s">
        <v>24</v>
      </c>
      <c r="M10" s="7">
        <f>RTD("em.rtq",,M4,"SellPrice1")</f>
        <v>7046</v>
      </c>
      <c r="N10" s="7">
        <f>M10-M3</f>
        <v>7041</v>
      </c>
    </row>
    <row r="11" spans="4:14" x14ac:dyDescent="0.15">
      <c r="D11" s="8" t="s">
        <v>25</v>
      </c>
      <c r="E11" s="7">
        <f>RTD("em.rtq",,E4,"SellVolume1")</f>
        <v>15</v>
      </c>
      <c r="F11" s="7"/>
      <c r="H11" s="8" t="s">
        <v>25</v>
      </c>
      <c r="I11" s="7">
        <f>RTD("em.rtq",,I4,"SellVolume1")</f>
        <v>6</v>
      </c>
      <c r="J11" s="7"/>
      <c r="K11" s="7"/>
      <c r="L11" s="8" t="s">
        <v>25</v>
      </c>
      <c r="M11" s="7">
        <f>RTD("em.rtq",,M4,"SellVolume1")</f>
        <v>12</v>
      </c>
    </row>
    <row r="12" spans="4:14" x14ac:dyDescent="0.15">
      <c r="D12" s="7"/>
      <c r="E12" s="7"/>
      <c r="F12" s="7"/>
      <c r="H12" s="8"/>
      <c r="I12" s="8"/>
      <c r="J12" s="7"/>
      <c r="K12" s="7"/>
      <c r="L12" s="7"/>
      <c r="M12" s="7"/>
    </row>
    <row r="13" spans="4:14" x14ac:dyDescent="0.15">
      <c r="D13" s="7"/>
      <c r="E13" s="7"/>
      <c r="F13" s="7"/>
      <c r="H13" s="8"/>
      <c r="I13" s="8"/>
      <c r="J13" s="7"/>
      <c r="K13" s="7"/>
      <c r="L13" s="10"/>
      <c r="M13" s="7"/>
    </row>
    <row r="14" spans="4:14" x14ac:dyDescent="0.15">
      <c r="D14" s="7" t="s">
        <v>26</v>
      </c>
      <c r="E14" s="7">
        <v>5</v>
      </c>
      <c r="H14" s="7" t="s">
        <v>26</v>
      </c>
      <c r="I14" s="7">
        <v>5</v>
      </c>
      <c r="K14" s="7"/>
      <c r="L14" s="7"/>
      <c r="M14" s="7"/>
    </row>
    <row r="15" spans="4:14" x14ac:dyDescent="0.15">
      <c r="D15" s="7" t="s">
        <v>27</v>
      </c>
      <c r="E15" s="7" t="s">
        <v>28</v>
      </c>
      <c r="F15" s="7"/>
      <c r="H15" s="8" t="s">
        <v>0</v>
      </c>
      <c r="I15" s="8" t="s">
        <v>29</v>
      </c>
      <c r="J15" s="11"/>
      <c r="K15" s="7"/>
      <c r="L15" s="7"/>
      <c r="M15" s="7"/>
    </row>
    <row r="16" spans="4:14" x14ac:dyDescent="0.15">
      <c r="D16" s="7" t="s">
        <v>16</v>
      </c>
      <c r="E16" s="7" t="s">
        <v>30</v>
      </c>
      <c r="F16" s="7"/>
      <c r="H16" s="8" t="s">
        <v>16</v>
      </c>
      <c r="I16" s="8" t="s">
        <v>31</v>
      </c>
      <c r="K16" s="7"/>
      <c r="L16" s="8"/>
      <c r="M16" s="9"/>
    </row>
    <row r="17" spans="4:13" x14ac:dyDescent="0.15">
      <c r="D17" s="8" t="s">
        <v>20</v>
      </c>
      <c r="E17" s="9" t="str">
        <f>RTD("em.rtq",,E15,"Time")</f>
        <v>18:49:15</v>
      </c>
      <c r="F17" s="7"/>
      <c r="H17" s="8" t="s">
        <v>20</v>
      </c>
      <c r="I17" s="9" t="str">
        <f>RTD("em.rtq",,I15,"Time")</f>
        <v>18:49:16</v>
      </c>
      <c r="K17" s="7"/>
      <c r="L17" s="8"/>
      <c r="M17" s="8"/>
    </row>
    <row r="18" spans="4:13" x14ac:dyDescent="0.15">
      <c r="D18" s="8" t="s">
        <v>21</v>
      </c>
      <c r="E18" s="12">
        <f>RTD("em.rtq",,E15,"TradePrice")</f>
        <v>13277.4</v>
      </c>
      <c r="F18" s="7"/>
      <c r="H18" s="8" t="s">
        <v>21</v>
      </c>
      <c r="I18" s="12">
        <f>RTD("em.rtq",,I15,"TradePrice")</f>
        <v>4196.0249999999996</v>
      </c>
      <c r="K18" s="7"/>
      <c r="L18" s="8"/>
      <c r="M18" s="8"/>
    </row>
    <row r="19" spans="4:13" x14ac:dyDescent="0.15">
      <c r="D19" s="8" t="s">
        <v>22</v>
      </c>
      <c r="E19" s="12">
        <f>RTD("em.rtq",,E15,"BuyPrice1")</f>
        <v>13276.25</v>
      </c>
      <c r="F19" s="7">
        <f>E19+E14</f>
        <v>13281.25</v>
      </c>
      <c r="H19" s="8" t="s">
        <v>22</v>
      </c>
      <c r="I19" s="12">
        <f>RTD("em.rtq",,I15,"BuyPrice1")</f>
        <v>4196</v>
      </c>
      <c r="J19" s="7">
        <f>I19+I14</f>
        <v>4201</v>
      </c>
      <c r="K19" s="7"/>
      <c r="L19" s="8"/>
      <c r="M19" s="8"/>
    </row>
    <row r="20" spans="4:13" x14ac:dyDescent="0.15">
      <c r="D20" s="8" t="s">
        <v>23</v>
      </c>
      <c r="E20" s="13">
        <f>RTD("em.rtq",,E15,"BuyVolume1")</f>
        <v>1</v>
      </c>
      <c r="F20" s="7"/>
      <c r="H20" s="14" t="s">
        <v>23</v>
      </c>
      <c r="I20" s="13">
        <f>RTD("em.rtq",,I15,"BuyVolume1")</f>
        <v>32</v>
      </c>
      <c r="J20" s="7"/>
      <c r="K20" s="7"/>
      <c r="L20" s="8"/>
      <c r="M20" s="8"/>
    </row>
    <row r="21" spans="4:13" x14ac:dyDescent="0.15">
      <c r="D21" s="8" t="s">
        <v>24</v>
      </c>
      <c r="E21" s="12">
        <f>RTD("em.rtq",,E15,"SellPrice1")</f>
        <v>13276.75</v>
      </c>
      <c r="F21" s="7">
        <f>E21-E14</f>
        <v>13271.75</v>
      </c>
      <c r="H21" s="8" t="s">
        <v>24</v>
      </c>
      <c r="I21" s="12">
        <f>RTD("em.rtq",,I15,"SellPrice1")</f>
        <v>4196.25</v>
      </c>
      <c r="J21" s="7">
        <f>I21-I14</f>
        <v>4191.25</v>
      </c>
      <c r="K21" s="7"/>
      <c r="L21" s="8"/>
      <c r="M21" s="8"/>
    </row>
    <row r="22" spans="4:13" x14ac:dyDescent="0.15">
      <c r="D22" s="8" t="s">
        <v>25</v>
      </c>
      <c r="E22" s="13">
        <f>RTD("em.rtq",,E15,"SellVolume1")</f>
        <v>3</v>
      </c>
      <c r="F22" s="7"/>
      <c r="H22" s="8" t="s">
        <v>25</v>
      </c>
      <c r="I22" s="13">
        <f>RTD("em.rtq",,I15,"SellVolume1")</f>
        <v>27</v>
      </c>
    </row>
    <row r="26" spans="4:13" x14ac:dyDescent="0.15">
      <c r="D26" s="8" t="s">
        <v>0</v>
      </c>
      <c r="E26" s="8" t="s">
        <v>32</v>
      </c>
    </row>
    <row r="27" spans="4:13" x14ac:dyDescent="0.15">
      <c r="D27" s="8" t="s">
        <v>16</v>
      </c>
      <c r="E27" s="8" t="s">
        <v>33</v>
      </c>
    </row>
    <row r="28" spans="4:13" x14ac:dyDescent="0.15">
      <c r="D28" s="8" t="s">
        <v>20</v>
      </c>
      <c r="E28" s="8" t="str">
        <f>RTD("em.rtq",,E26,"Time")</f>
        <v>18:49:22</v>
      </c>
    </row>
    <row r="29" spans="4:13" x14ac:dyDescent="0.15">
      <c r="D29" s="8" t="s">
        <v>34</v>
      </c>
      <c r="E29" s="8">
        <f>RTD("em.rtq",,E26,"Now")</f>
        <v>6.8807799999999997</v>
      </c>
    </row>
    <row r="31" spans="4:13" ht="13.5" x14ac:dyDescent="0.15">
      <c r="D31" s="15"/>
    </row>
  </sheetData>
  <phoneticPr fontId="1" type="noConversion"/>
  <conditionalFormatting sqref="I13">
    <cfRule type="cellIs" dxfId="2" priority="1" stopIfTrue="1" operator="lessThan">
      <formula>0</formula>
    </cfRule>
    <cfRule type="cellIs" dxfId="1" priority="2" stopIfTrue="1" operator="equal">
      <formula>0</formula>
    </cfRule>
    <cfRule type="cellIs" dxfId="0" priority="3" stopIfTrue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2"/>
  <sheetViews>
    <sheetView workbookViewId="0">
      <selection activeCell="F27" sqref="F27"/>
    </sheetView>
  </sheetViews>
  <sheetFormatPr defaultColWidth="9" defaultRowHeight="13.5" x14ac:dyDescent="0.15"/>
  <cols>
    <col min="1" max="1" width="19.5" style="2" customWidth="1"/>
    <col min="2" max="2" width="9" style="2"/>
    <col min="3" max="3" width="10.875" style="2" customWidth="1"/>
    <col min="4" max="4" width="19.625" style="2" customWidth="1"/>
    <col min="5" max="5" width="9.5" style="2" bestFit="1" customWidth="1"/>
    <col min="6" max="6" width="9" style="2"/>
    <col min="7" max="7" width="9.625" style="2" customWidth="1"/>
    <col min="8" max="8" width="12.25" style="2" customWidth="1"/>
    <col min="9" max="9" width="31" style="2" customWidth="1"/>
    <col min="10" max="10" width="11.375" style="2" customWidth="1"/>
    <col min="11" max="16384" width="9" style="2"/>
  </cols>
  <sheetData>
    <row r="1" spans="1:16" ht="14.25" thickBot="1" x14ac:dyDescent="0.2"/>
    <row r="2" spans="1:16" ht="14.25" thickTop="1" x14ac:dyDescent="0.15">
      <c r="A2" s="16"/>
      <c r="B2" s="17"/>
      <c r="C2" s="17" t="s">
        <v>44</v>
      </c>
      <c r="D2" s="17">
        <v>10000</v>
      </c>
      <c r="E2" s="17" t="s">
        <v>35</v>
      </c>
      <c r="F2" s="17">
        <f>$A$5*D2</f>
        <v>2004500</v>
      </c>
      <c r="G2" s="17"/>
      <c r="H2" s="17"/>
      <c r="I2" s="17"/>
      <c r="J2" s="39"/>
      <c r="K2" s="39"/>
      <c r="L2" s="39"/>
      <c r="M2" s="39"/>
      <c r="N2" s="39"/>
      <c r="O2" s="39"/>
      <c r="P2" s="18"/>
    </row>
    <row r="3" spans="1:16" x14ac:dyDescent="0.15">
      <c r="A3" s="19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1"/>
    </row>
    <row r="4" spans="1:16" x14ac:dyDescent="0.15">
      <c r="A4" s="19" t="s">
        <v>45</v>
      </c>
      <c r="B4" s="20"/>
      <c r="C4" s="20" t="s">
        <v>0</v>
      </c>
      <c r="D4" s="25" t="s">
        <v>46</v>
      </c>
      <c r="E4" s="20" t="s">
        <v>47</v>
      </c>
      <c r="F4" s="20"/>
      <c r="G4" s="23" t="s">
        <v>0</v>
      </c>
      <c r="H4" s="23" t="s">
        <v>48</v>
      </c>
      <c r="I4" s="24">
        <f>D6*D2/H6</f>
        <v>0</v>
      </c>
      <c r="J4" s="20"/>
      <c r="K4" s="20"/>
      <c r="L4" s="20"/>
      <c r="M4" s="20"/>
      <c r="N4" s="20"/>
      <c r="O4" s="20"/>
      <c r="P4" s="21"/>
    </row>
    <row r="5" spans="1:16" x14ac:dyDescent="0.15">
      <c r="A5" s="19">
        <f>RTD("em.rtq",,"000012.SH","TradePrice")</f>
        <v>200.45</v>
      </c>
      <c r="B5" s="20"/>
      <c r="C5" s="23" t="s">
        <v>16</v>
      </c>
      <c r="D5" s="25" t="str">
        <f>D4</f>
        <v>TF2305.CFE</v>
      </c>
      <c r="E5" s="20"/>
      <c r="F5" s="20"/>
      <c r="G5" s="23" t="s">
        <v>16</v>
      </c>
      <c r="H5" s="23" t="s">
        <v>49</v>
      </c>
      <c r="I5" s="23" t="s">
        <v>50</v>
      </c>
      <c r="J5" s="23">
        <v>7900</v>
      </c>
      <c r="K5" s="38"/>
      <c r="L5" s="38"/>
      <c r="M5" s="38"/>
      <c r="N5" s="38"/>
      <c r="O5" s="38"/>
      <c r="P5" s="21"/>
    </row>
    <row r="6" spans="1:16" ht="14.25" x14ac:dyDescent="0.15">
      <c r="A6" s="19"/>
      <c r="B6" s="20"/>
      <c r="C6" s="23" t="s">
        <v>21</v>
      </c>
      <c r="D6" s="20">
        <f>RTD("em.rtq",,D4,"TradePrice")</f>
        <v>0</v>
      </c>
      <c r="E6" s="20"/>
      <c r="F6" s="20"/>
      <c r="G6" s="23" t="s">
        <v>21</v>
      </c>
      <c r="H6" s="26">
        <f>RTD("em.rtq",,H4,"TradePrice")</f>
        <v>129.73599999999999</v>
      </c>
      <c r="I6" s="23" t="s">
        <v>36</v>
      </c>
      <c r="J6" s="27">
        <f>D8*D2-H8*J5</f>
        <v>-1024914.3999999999</v>
      </c>
      <c r="K6" s="38"/>
      <c r="L6" s="38"/>
      <c r="M6" s="38"/>
      <c r="N6" s="38"/>
      <c r="O6" s="38"/>
      <c r="P6" s="21"/>
    </row>
    <row r="7" spans="1:16" ht="14.25" x14ac:dyDescent="0.15">
      <c r="A7" s="19"/>
      <c r="B7" s="20"/>
      <c r="C7" s="23" t="s">
        <v>37</v>
      </c>
      <c r="D7" s="20">
        <f>RTD("em.rtq",,D4,"SellPrice1")</f>
        <v>0</v>
      </c>
      <c r="E7" s="20"/>
      <c r="F7" s="20"/>
      <c r="G7" s="23" t="s">
        <v>37</v>
      </c>
      <c r="H7" s="26">
        <f>RTD("em.rtq",,H4,"SellPrice1")</f>
        <v>129.73699999999999</v>
      </c>
      <c r="I7" s="23" t="s">
        <v>38</v>
      </c>
      <c r="J7" s="27">
        <f>D8*D2-H7*J5</f>
        <v>-1024922.2999999999</v>
      </c>
      <c r="K7" s="38"/>
      <c r="L7" s="38"/>
      <c r="M7" s="38"/>
      <c r="N7" s="38"/>
      <c r="O7" s="38"/>
      <c r="P7" s="21"/>
    </row>
    <row r="8" spans="1:16" ht="14.25" x14ac:dyDescent="0.15">
      <c r="A8" s="19"/>
      <c r="B8" s="20"/>
      <c r="C8" s="23" t="s">
        <v>39</v>
      </c>
      <c r="D8" s="20">
        <f>RTD("em.rtq",,D4,"BuyPrice1")</f>
        <v>0</v>
      </c>
      <c r="E8" s="20"/>
      <c r="F8" s="20"/>
      <c r="G8" s="23" t="s">
        <v>39</v>
      </c>
      <c r="H8" s="26">
        <f>RTD("em.rtq",,H4,"BuyPrice1")</f>
        <v>129.73599999999999</v>
      </c>
      <c r="I8" s="23" t="s">
        <v>40</v>
      </c>
      <c r="J8" s="27">
        <f>D7*D2-H7*J5</f>
        <v>-1024922.2999999999</v>
      </c>
      <c r="K8" s="38"/>
      <c r="L8" s="38"/>
      <c r="M8" s="38"/>
      <c r="N8" s="38"/>
      <c r="O8" s="38"/>
      <c r="P8" s="21"/>
    </row>
    <row r="9" spans="1:16" x14ac:dyDescent="0.15">
      <c r="A9" s="19"/>
      <c r="B9" s="20"/>
      <c r="C9" s="20" t="s">
        <v>41</v>
      </c>
      <c r="D9" s="29">
        <f>A5-D6</f>
        <v>200.45</v>
      </c>
      <c r="E9" s="20"/>
      <c r="F9" s="20"/>
      <c r="G9" s="20"/>
      <c r="H9" s="20"/>
      <c r="I9" s="23" t="s">
        <v>42</v>
      </c>
      <c r="J9" s="27">
        <f>D7*D2-H8*J5</f>
        <v>-1024914.3999999999</v>
      </c>
      <c r="K9" s="38"/>
      <c r="L9" s="38"/>
      <c r="M9" s="38"/>
      <c r="N9" s="38"/>
      <c r="O9" s="38"/>
      <c r="P9" s="21"/>
    </row>
    <row r="10" spans="1:16" x14ac:dyDescent="0.15">
      <c r="A10" s="19"/>
      <c r="B10" s="20"/>
      <c r="C10" s="20" t="s">
        <v>43</v>
      </c>
      <c r="D10" s="28" t="s">
        <v>51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1"/>
    </row>
    <row r="11" spans="1:16" x14ac:dyDescent="0.15">
      <c r="A11" s="19"/>
      <c r="B11" s="20"/>
      <c r="C11" s="20"/>
      <c r="D11" s="28"/>
      <c r="E11" s="20"/>
      <c r="F11" s="20"/>
      <c r="G11" s="20"/>
      <c r="H11" s="20"/>
      <c r="I11" s="37"/>
      <c r="J11" s="20"/>
      <c r="K11" s="20"/>
      <c r="L11" s="20"/>
      <c r="M11" s="20"/>
      <c r="N11" s="20"/>
      <c r="O11" s="20"/>
      <c r="P11" s="21"/>
    </row>
    <row r="12" spans="1:16" x14ac:dyDescent="0.15">
      <c r="A12" s="30"/>
      <c r="B12" s="31"/>
      <c r="C12" s="31" t="s">
        <v>44</v>
      </c>
      <c r="D12" s="31">
        <v>20000</v>
      </c>
      <c r="E12" s="31" t="s">
        <v>35</v>
      </c>
      <c r="F12" s="20">
        <f>$A$5*D12</f>
        <v>4009000</v>
      </c>
      <c r="G12" s="31"/>
      <c r="H12" s="31"/>
      <c r="I12" s="31"/>
      <c r="J12" s="31"/>
      <c r="K12" s="31"/>
      <c r="L12" s="31"/>
      <c r="M12" s="31"/>
      <c r="N12" s="31"/>
      <c r="O12" s="31"/>
      <c r="P12" s="21"/>
    </row>
    <row r="13" spans="1:16" x14ac:dyDescent="0.15">
      <c r="A13" s="30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21"/>
    </row>
    <row r="14" spans="1:16" x14ac:dyDescent="0.15">
      <c r="A14" s="30"/>
      <c r="B14" s="31"/>
      <c r="C14" s="32" t="s">
        <v>0</v>
      </c>
      <c r="D14" s="22" t="s">
        <v>52</v>
      </c>
      <c r="E14" s="31" t="s">
        <v>53</v>
      </c>
      <c r="F14" s="31"/>
      <c r="G14" s="23" t="s">
        <v>0</v>
      </c>
      <c r="H14" s="23" t="s">
        <v>54</v>
      </c>
      <c r="I14" s="33">
        <f>D6*D2/H16</f>
        <v>0</v>
      </c>
      <c r="J14" s="31"/>
      <c r="K14" s="31"/>
      <c r="L14" s="31"/>
      <c r="M14" s="31"/>
      <c r="N14" s="31"/>
      <c r="O14" s="31"/>
      <c r="P14" s="21"/>
    </row>
    <row r="15" spans="1:16" x14ac:dyDescent="0.15">
      <c r="A15" s="30"/>
      <c r="B15" s="31"/>
      <c r="C15" s="32" t="s">
        <v>16</v>
      </c>
      <c r="D15" s="32" t="str">
        <f>D14</f>
        <v>TS2305.CFE</v>
      </c>
      <c r="E15" s="31"/>
      <c r="F15" s="31"/>
      <c r="G15" s="23" t="s">
        <v>16</v>
      </c>
      <c r="H15" s="23" t="s">
        <v>55</v>
      </c>
      <c r="I15" s="23" t="s">
        <v>56</v>
      </c>
      <c r="J15" s="31">
        <v>10200</v>
      </c>
      <c r="K15" s="38"/>
      <c r="L15" s="38"/>
      <c r="M15" s="38"/>
      <c r="N15" s="38"/>
      <c r="O15" s="38"/>
      <c r="P15" s="21"/>
    </row>
    <row r="16" spans="1:16" ht="14.25" x14ac:dyDescent="0.15">
      <c r="A16" s="30"/>
      <c r="B16" s="31"/>
      <c r="C16" s="32" t="s">
        <v>21</v>
      </c>
      <c r="D16" s="20">
        <f>RTD("em.rtq",,D14,"TradePrice")</f>
        <v>0</v>
      </c>
      <c r="E16" s="31"/>
      <c r="F16" s="31"/>
      <c r="G16" s="23" t="s">
        <v>21</v>
      </c>
      <c r="H16" s="26">
        <f>RTD("em.rtq",,H14,"TradePrice")</f>
        <v>100.791</v>
      </c>
      <c r="I16" s="23" t="s">
        <v>36</v>
      </c>
      <c r="J16" s="27">
        <f>D18*D2-H18*J15</f>
        <v>-1028058.0000000001</v>
      </c>
      <c r="K16" s="38"/>
      <c r="L16" s="38"/>
      <c r="M16" s="38"/>
      <c r="N16" s="38"/>
      <c r="O16" s="38"/>
      <c r="P16" s="21"/>
    </row>
    <row r="17" spans="1:16" ht="14.25" x14ac:dyDescent="0.15">
      <c r="A17" s="30"/>
      <c r="B17" s="31"/>
      <c r="C17" s="32" t="s">
        <v>37</v>
      </c>
      <c r="D17" s="20">
        <f>RTD("em.rtq",,D14,"SellPrice1")</f>
        <v>0</v>
      </c>
      <c r="E17" s="31"/>
      <c r="F17" s="31"/>
      <c r="G17" s="23" t="s">
        <v>37</v>
      </c>
      <c r="H17" s="26">
        <f>RTD("em.rtq",,H14,"SellPrice1")</f>
        <v>100.791</v>
      </c>
      <c r="I17" s="23" t="s">
        <v>38</v>
      </c>
      <c r="J17" s="27">
        <f>D18*D2-H17*J15</f>
        <v>-1028068.2</v>
      </c>
      <c r="K17" s="38"/>
      <c r="L17" s="38"/>
      <c r="M17" s="38"/>
      <c r="N17" s="38"/>
      <c r="O17" s="38"/>
      <c r="P17" s="21"/>
    </row>
    <row r="18" spans="1:16" ht="14.25" x14ac:dyDescent="0.15">
      <c r="A18" s="30"/>
      <c r="B18" s="31"/>
      <c r="C18" s="32" t="s">
        <v>39</v>
      </c>
      <c r="D18" s="20">
        <f>RTD("em.rtq",,D14,"BuyPrice1")</f>
        <v>0</v>
      </c>
      <c r="E18" s="31"/>
      <c r="F18" s="31"/>
      <c r="G18" s="23" t="s">
        <v>39</v>
      </c>
      <c r="H18" s="26">
        <f>RTD("em.rtq",,H14,"BuyPrice1")</f>
        <v>100.79</v>
      </c>
      <c r="I18" s="23" t="s">
        <v>40</v>
      </c>
      <c r="J18" s="27">
        <f>D17*D2-H17*J15</f>
        <v>-1028068.2</v>
      </c>
      <c r="K18" s="38"/>
      <c r="L18" s="38"/>
      <c r="M18" s="38"/>
      <c r="N18" s="38"/>
      <c r="O18" s="38"/>
      <c r="P18" s="21"/>
    </row>
    <row r="19" spans="1:16" x14ac:dyDescent="0.15">
      <c r="A19" s="30"/>
      <c r="B19" s="31"/>
      <c r="C19" s="31" t="s">
        <v>41</v>
      </c>
      <c r="D19" s="29">
        <f>A5-D16</f>
        <v>200.45</v>
      </c>
      <c r="E19" s="31"/>
      <c r="F19" s="31"/>
      <c r="G19" s="31"/>
      <c r="H19" s="31"/>
      <c r="I19" s="23" t="s">
        <v>42</v>
      </c>
      <c r="J19" s="27">
        <f>D17*D2-H18*J15</f>
        <v>-1028058.0000000001</v>
      </c>
      <c r="K19" s="38"/>
      <c r="L19" s="38"/>
      <c r="M19" s="38"/>
      <c r="N19" s="38"/>
      <c r="O19" s="38"/>
      <c r="P19" s="21"/>
    </row>
    <row r="20" spans="1:16" x14ac:dyDescent="0.15">
      <c r="A20" s="30"/>
      <c r="B20" s="31"/>
      <c r="C20" s="31" t="s">
        <v>43</v>
      </c>
      <c r="D20" s="28" t="s">
        <v>51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21"/>
    </row>
    <row r="21" spans="1:16" ht="14.25" thickBot="1" x14ac:dyDescent="0.2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6"/>
    </row>
    <row r="22" spans="1:16" ht="14.25" thickTop="1" x14ac:dyDescent="0.15"/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159941</vt:lpstr>
      <vt:lpstr>实时行情</vt:lpstr>
      <vt:lpstr>股指期货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2023-04-18T10:49:29Z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06733e8c</vt:lpwstr>
  </property>
</Properties>
</file>